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su/lab/Bachelor_Report2023/VRPTW_Model/"/>
    </mc:Choice>
  </mc:AlternateContent>
  <xr:revisionPtr revIDLastSave="0" documentId="13_ncr:1_{D93E48CB-C61B-1846-AAAB-D9737DCF675A}" xr6:coauthVersionLast="47" xr6:coauthVersionMax="47" xr10:uidLastSave="{00000000-0000-0000-0000-000000000000}"/>
  <bookViews>
    <workbookView minimized="1" xWindow="0" yWindow="500" windowWidth="51200" windowHeight="28300" xr2:uid="{CE21C34F-BECF-1F42-A530-D8AF828F6FCF}"/>
  </bookViews>
  <sheets>
    <sheet name="Sheet1" sheetId="1" r:id="rId1"/>
  </sheets>
  <definedNames>
    <definedName name="_xlnm._FilterDatabase" localSheetId="0" hidden="1">Sheet1!$K$1:$K$43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J15" i="1"/>
  <c r="H5" i="1"/>
  <c r="H6" i="1"/>
  <c r="H16" i="1"/>
  <c r="H17" i="1"/>
  <c r="H18" i="1"/>
  <c r="H19" i="1"/>
  <c r="H20" i="1"/>
  <c r="H21" i="1"/>
  <c r="H23" i="1"/>
  <c r="H24" i="1"/>
  <c r="H25" i="1"/>
  <c r="H26" i="1"/>
  <c r="H27" i="1"/>
  <c r="J33" i="1"/>
  <c r="J34" i="1"/>
  <c r="J35" i="1"/>
  <c r="J36" i="1"/>
  <c r="J37" i="1"/>
  <c r="J28" i="1"/>
  <c r="J29" i="1"/>
  <c r="J30" i="1"/>
  <c r="J31" i="1"/>
  <c r="J32" i="1"/>
  <c r="P12" i="1"/>
  <c r="J4" i="1"/>
  <c r="J8" i="1"/>
  <c r="I43" i="1"/>
  <c r="J41" i="1" s="1"/>
  <c r="P38" i="1"/>
  <c r="J9" i="1"/>
  <c r="J10" i="1"/>
  <c r="J11" i="1"/>
  <c r="J12" i="1"/>
  <c r="J13" i="1"/>
  <c r="J14" i="1"/>
  <c r="P53" i="1"/>
  <c r="P44" i="1"/>
  <c r="Q46" i="1" s="1"/>
  <c r="Q52" i="1" s="1"/>
  <c r="Q55" i="1" s="1"/>
  <c r="B19" i="1"/>
  <c r="B23" i="1" s="1"/>
  <c r="H39" i="1" l="1"/>
  <c r="I41" i="1" s="1"/>
  <c r="J22" i="1"/>
  <c r="I16" i="1" l="1"/>
  <c r="J16" i="1" s="1"/>
  <c r="I27" i="1"/>
  <c r="J27" i="1" s="1"/>
  <c r="I7" i="1"/>
  <c r="J7" i="1" s="1"/>
  <c r="I26" i="1"/>
  <c r="J26" i="1" s="1"/>
  <c r="I20" i="1"/>
  <c r="J20" i="1" s="1"/>
  <c r="I23" i="1"/>
  <c r="J23" i="1" s="1"/>
  <c r="I5" i="1"/>
  <c r="I24" i="1"/>
  <c r="J24" i="1" s="1"/>
  <c r="I19" i="1"/>
  <c r="J19" i="1" s="1"/>
  <c r="I6" i="1"/>
  <c r="J6" i="1" s="1"/>
  <c r="I17" i="1"/>
  <c r="J17" i="1" s="1"/>
  <c r="I25" i="1"/>
  <c r="J25" i="1" s="1"/>
  <c r="I21" i="1"/>
  <c r="J21" i="1" s="1"/>
  <c r="I18" i="1"/>
  <c r="J18" i="1" s="1"/>
  <c r="Q38" i="1"/>
  <c r="Q41" i="1" s="1"/>
  <c r="I39" i="1" l="1"/>
  <c r="Q33" i="1" s="1"/>
  <c r="Q36" i="1" s="1"/>
  <c r="J5" i="1"/>
  <c r="J39" i="1" s="1"/>
</calcChain>
</file>

<file path=xl/sharedStrings.xml><?xml version="1.0" encoding="utf-8"?>
<sst xmlns="http://schemas.openxmlformats.org/spreadsheetml/2006/main" count="125" uniqueCount="65">
  <si>
    <t>M2</t>
    <phoneticPr fontId="1"/>
  </si>
  <si>
    <t>M1</t>
    <phoneticPr fontId="1"/>
  </si>
  <si>
    <t>ドクター　</t>
    <phoneticPr fontId="1"/>
  </si>
  <si>
    <t>B4</t>
    <phoneticPr fontId="1"/>
  </si>
  <si>
    <t>B3</t>
    <phoneticPr fontId="1"/>
  </si>
  <si>
    <t>先生</t>
    <rPh sb="0" eb="2">
      <t xml:space="preserve">センセイ </t>
    </rPh>
    <phoneticPr fontId="1"/>
  </si>
  <si>
    <t>26人</t>
    <rPh sb="2" eb="3">
      <t xml:space="preserve">ニン </t>
    </rPh>
    <phoneticPr fontId="1"/>
  </si>
  <si>
    <t>川口</t>
    <rPh sb="0" eb="2">
      <t xml:space="preserve">カワグチ </t>
    </rPh>
    <phoneticPr fontId="1"/>
  </si>
  <si>
    <t>25人</t>
    <phoneticPr fontId="1"/>
  </si>
  <si>
    <t>無料12人</t>
    <rPh sb="0" eb="2">
      <t xml:space="preserve">ムリョウ </t>
    </rPh>
    <phoneticPr fontId="1"/>
  </si>
  <si>
    <t>15人支払い</t>
    <rPh sb="3" eb="5">
      <t xml:space="preserve">シハライ </t>
    </rPh>
    <phoneticPr fontId="1"/>
  </si>
  <si>
    <t>30人</t>
    <phoneticPr fontId="1"/>
  </si>
  <si>
    <t>OB5人</t>
    <phoneticPr fontId="1"/>
  </si>
  <si>
    <t>博士</t>
    <rPh sb="0" eb="2">
      <t xml:space="preserve">ハカセ </t>
    </rPh>
    <phoneticPr fontId="1"/>
  </si>
  <si>
    <t>チャン</t>
    <phoneticPr fontId="1"/>
  </si>
  <si>
    <t>Sun</t>
    <phoneticPr fontId="1"/>
  </si>
  <si>
    <t>dahall</t>
    <phoneticPr fontId="1"/>
  </si>
  <si>
    <t>木嶋</t>
    <rPh sb="0" eb="2">
      <t xml:space="preserve">キジマ </t>
    </rPh>
    <phoneticPr fontId="1"/>
  </si>
  <si>
    <t>清水</t>
    <rPh sb="0" eb="2">
      <t xml:space="preserve">シミズ </t>
    </rPh>
    <phoneticPr fontId="1"/>
  </si>
  <si>
    <t>山田</t>
    <rPh sb="0" eb="2">
      <t xml:space="preserve">ヤマダ </t>
    </rPh>
    <phoneticPr fontId="1"/>
  </si>
  <si>
    <t>当麻</t>
    <rPh sb="0" eb="2">
      <t xml:space="preserve">トウマ </t>
    </rPh>
    <phoneticPr fontId="1"/>
  </si>
  <si>
    <t>吉田</t>
    <rPh sb="0" eb="2">
      <t xml:space="preserve">ヨシダ </t>
    </rPh>
    <phoneticPr fontId="1"/>
  </si>
  <si>
    <t>荒川</t>
    <rPh sb="0" eb="2">
      <t xml:space="preserve">アラカワ </t>
    </rPh>
    <phoneticPr fontId="1"/>
  </si>
  <si>
    <t>宮島</t>
    <rPh sb="0" eb="2">
      <t xml:space="preserve">ミヤジマ </t>
    </rPh>
    <phoneticPr fontId="1"/>
  </si>
  <si>
    <t>中里</t>
    <rPh sb="0" eb="2">
      <t xml:space="preserve">ナカザト </t>
    </rPh>
    <phoneticPr fontId="1"/>
  </si>
  <si>
    <t>水本</t>
    <rPh sb="0" eb="2">
      <t xml:space="preserve">ミズモト </t>
    </rPh>
    <phoneticPr fontId="1"/>
  </si>
  <si>
    <t>吉野</t>
    <rPh sb="0" eb="2">
      <t xml:space="preserve">ヨシノ </t>
    </rPh>
    <phoneticPr fontId="1"/>
  </si>
  <si>
    <t>渡邊</t>
    <rPh sb="0" eb="2">
      <t xml:space="preserve">ワタナベ </t>
    </rPh>
    <phoneticPr fontId="1"/>
  </si>
  <si>
    <t>薄田</t>
    <rPh sb="0" eb="2">
      <t xml:space="preserve">ススキダ </t>
    </rPh>
    <phoneticPr fontId="1"/>
  </si>
  <si>
    <t>サダヒロ</t>
    <phoneticPr fontId="1"/>
  </si>
  <si>
    <t>本多</t>
    <rPh sb="0" eb="2">
      <t xml:space="preserve">ホンダ </t>
    </rPh>
    <phoneticPr fontId="1"/>
  </si>
  <si>
    <t>小林</t>
    <rPh sb="0" eb="2">
      <t xml:space="preserve">コバヤシ </t>
    </rPh>
    <phoneticPr fontId="1"/>
  </si>
  <si>
    <t>髙山</t>
    <rPh sb="0" eb="2">
      <t xml:space="preserve">タカヤマ </t>
    </rPh>
    <phoneticPr fontId="1"/>
  </si>
  <si>
    <t>森本</t>
    <rPh sb="0" eb="2">
      <t xml:space="preserve">モリモト </t>
    </rPh>
    <phoneticPr fontId="1"/>
  </si>
  <si>
    <t>中田</t>
    <rPh sb="0" eb="2">
      <t xml:space="preserve">ナカタ </t>
    </rPh>
    <phoneticPr fontId="1"/>
  </si>
  <si>
    <t>川原</t>
    <rPh sb="0" eb="2">
      <t xml:space="preserve">カワハラ </t>
    </rPh>
    <phoneticPr fontId="1"/>
  </si>
  <si>
    <t>喜多村</t>
    <rPh sb="0" eb="3">
      <t xml:space="preserve">キタムラ </t>
    </rPh>
    <phoneticPr fontId="1"/>
  </si>
  <si>
    <t>松本</t>
    <rPh sb="0" eb="2">
      <t xml:space="preserve">マツモト </t>
    </rPh>
    <phoneticPr fontId="1"/>
  </si>
  <si>
    <t>遠藤</t>
    <rPh sb="0" eb="2">
      <t xml:space="preserve">エンドウ </t>
    </rPh>
    <phoneticPr fontId="1"/>
  </si>
  <si>
    <t>川端</t>
    <rPh sb="0" eb="2">
      <t xml:space="preserve">カワバタ </t>
    </rPh>
    <phoneticPr fontId="1"/>
  </si>
  <si>
    <t>藤田</t>
    <rPh sb="0" eb="2">
      <t xml:space="preserve">フジタ </t>
    </rPh>
    <phoneticPr fontId="1"/>
  </si>
  <si>
    <t>OB　</t>
    <phoneticPr fontId="1"/>
  </si>
  <si>
    <t>合計</t>
    <rPh sb="0" eb="2">
      <t xml:space="preserve">ゴウケイ </t>
    </rPh>
    <phoneticPr fontId="1"/>
  </si>
  <si>
    <t>人数</t>
    <rPh sb="0" eb="2">
      <t xml:space="preserve">ニンズウ </t>
    </rPh>
    <phoneticPr fontId="1"/>
  </si>
  <si>
    <t>金額</t>
    <rPh sb="0" eb="2">
      <t xml:space="preserve">キンガク </t>
    </rPh>
    <phoneticPr fontId="1"/>
  </si>
  <si>
    <t>A</t>
    <phoneticPr fontId="1"/>
  </si>
  <si>
    <t>一人あたり</t>
    <rPh sb="0" eb="2">
      <t xml:space="preserve">ヒトリアタリノ </t>
    </rPh>
    <phoneticPr fontId="1"/>
  </si>
  <si>
    <t>プレゼント代</t>
    <phoneticPr fontId="1"/>
  </si>
  <si>
    <t>送別会</t>
    <rPh sb="0" eb="3">
      <t xml:space="preserve">ソウベツカイ </t>
    </rPh>
    <phoneticPr fontId="1"/>
  </si>
  <si>
    <t>松尾</t>
    <rPh sb="0" eb="2">
      <t xml:space="preserve">マツオ </t>
    </rPh>
    <phoneticPr fontId="1"/>
  </si>
  <si>
    <t>一人あたり</t>
    <rPh sb="0" eb="2">
      <t>ヒト</t>
    </rPh>
    <phoneticPr fontId="1"/>
  </si>
  <si>
    <t>繰り越し</t>
    <rPh sb="0" eb="1">
      <t xml:space="preserve">クリコシ </t>
    </rPh>
    <phoneticPr fontId="1"/>
  </si>
  <si>
    <t>予算</t>
    <rPh sb="0" eb="2">
      <t xml:space="preserve">ヨサン </t>
    </rPh>
    <phoneticPr fontId="1"/>
  </si>
  <si>
    <t>総額</t>
    <rPh sb="0" eb="2">
      <t xml:space="preserve">ソウガク </t>
    </rPh>
    <phoneticPr fontId="1"/>
  </si>
  <si>
    <t>負担者人数</t>
    <rPh sb="0" eb="3">
      <t xml:space="preserve">フタンシャ </t>
    </rPh>
    <rPh sb="3" eb="5">
      <t xml:space="preserve">ニンズウ </t>
    </rPh>
    <phoneticPr fontId="1"/>
  </si>
  <si>
    <t>参加人数</t>
    <rPh sb="0" eb="2">
      <t xml:space="preserve">サンカ </t>
    </rPh>
    <rPh sb="2" eb="4">
      <t xml:space="preserve">ニンズウ </t>
    </rPh>
    <phoneticPr fontId="1"/>
  </si>
  <si>
    <t>欠席者</t>
    <rPh sb="0" eb="3">
      <t xml:space="preserve">ケッセキシャ </t>
    </rPh>
    <phoneticPr fontId="1"/>
  </si>
  <si>
    <t>学生負担額</t>
    <rPh sb="0" eb="5">
      <t xml:space="preserve">ガクセイフタンガク </t>
    </rPh>
    <phoneticPr fontId="1"/>
  </si>
  <si>
    <t>一人あたり</t>
    <rPh sb="0" eb="2">
      <t>ヒトリ</t>
    </rPh>
    <phoneticPr fontId="1"/>
  </si>
  <si>
    <t>OBOG</t>
    <phoneticPr fontId="1"/>
  </si>
  <si>
    <t>コース料金</t>
    <phoneticPr fontId="1"/>
  </si>
  <si>
    <t>コース料金</t>
    <rPh sb="3" eb="5">
      <t xml:space="preserve">リョウキン </t>
    </rPh>
    <phoneticPr fontId="1"/>
  </si>
  <si>
    <t>負担者</t>
    <phoneticPr fontId="1"/>
  </si>
  <si>
    <t>割り勘分</t>
    <rPh sb="0" eb="1">
      <t xml:space="preserve">ワリカン </t>
    </rPh>
    <rPh sb="3" eb="4">
      <t xml:space="preserve">ブン </t>
    </rPh>
    <phoneticPr fontId="1"/>
  </si>
  <si>
    <t>支払い分</t>
    <rPh sb="0" eb="2">
      <t xml:space="preserve">シハライブン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</si>
</sst>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0320-F94E-8744-B0BA-201041D9FCC9}">
  <dimension ref="A1:Q55"/>
  <sheetViews>
    <sheetView tabSelected="1" workbookViewId="0">
      <selection activeCell="N1" sqref="N1"/>
    </sheetView>
  </sheetViews>
  <sheetFormatPr baseColWidth="10" defaultRowHeight="20"/>
  <cols>
    <col min="14" max="14" width="4.85546875" customWidth="1"/>
    <col min="15" max="15" width="13" customWidth="1"/>
  </cols>
  <sheetData>
    <row r="1" spans="1:16">
      <c r="A1" t="s">
        <v>2</v>
      </c>
      <c r="B1">
        <v>3</v>
      </c>
    </row>
    <row r="2" spans="1:16">
      <c r="A2" t="s">
        <v>0</v>
      </c>
      <c r="B2">
        <v>7</v>
      </c>
    </row>
    <row r="3" spans="1:16">
      <c r="A3" t="s">
        <v>1</v>
      </c>
      <c r="B3">
        <v>7</v>
      </c>
      <c r="H3" t="s">
        <v>61</v>
      </c>
      <c r="I3" t="s">
        <v>63</v>
      </c>
      <c r="J3" t="s">
        <v>64</v>
      </c>
      <c r="L3" t="s">
        <v>61</v>
      </c>
      <c r="M3" t="s">
        <v>62</v>
      </c>
    </row>
    <row r="4" spans="1:16">
      <c r="A4" t="s">
        <v>3</v>
      </c>
      <c r="B4">
        <v>5</v>
      </c>
      <c r="F4" t="s">
        <v>5</v>
      </c>
      <c r="G4" t="s">
        <v>40</v>
      </c>
      <c r="H4">
        <v>15000</v>
      </c>
      <c r="I4">
        <v>0</v>
      </c>
      <c r="J4">
        <f>H4+I4</f>
        <v>15000</v>
      </c>
      <c r="K4" t="s">
        <v>45</v>
      </c>
    </row>
    <row r="5" spans="1:16">
      <c r="A5" t="s">
        <v>4</v>
      </c>
      <c r="B5">
        <v>5</v>
      </c>
      <c r="F5" t="s">
        <v>13</v>
      </c>
      <c r="G5" t="s">
        <v>14</v>
      </c>
      <c r="H5">
        <f>H41</f>
        <v>4000</v>
      </c>
      <c r="I5">
        <f>I41</f>
        <v>857</v>
      </c>
      <c r="J5">
        <f t="shared" ref="J5:J37" si="0">H5+I5</f>
        <v>4857</v>
      </c>
      <c r="K5" t="s">
        <v>45</v>
      </c>
      <c r="M5" t="s">
        <v>45</v>
      </c>
    </row>
    <row r="6" spans="1:16">
      <c r="A6" t="s">
        <v>5</v>
      </c>
      <c r="B6">
        <v>1</v>
      </c>
      <c r="G6" t="s">
        <v>15</v>
      </c>
      <c r="H6">
        <f>H41</f>
        <v>4000</v>
      </c>
      <c r="I6">
        <f>I41</f>
        <v>857</v>
      </c>
      <c r="J6">
        <f t="shared" si="0"/>
        <v>4857</v>
      </c>
      <c r="K6" t="s">
        <v>45</v>
      </c>
      <c r="M6" t="s">
        <v>45</v>
      </c>
    </row>
    <row r="7" spans="1:16">
      <c r="G7" t="s">
        <v>16</v>
      </c>
      <c r="H7">
        <f>H41</f>
        <v>4000</v>
      </c>
      <c r="I7">
        <f>I41</f>
        <v>857</v>
      </c>
      <c r="J7">
        <f t="shared" si="0"/>
        <v>4857</v>
      </c>
      <c r="K7" t="s">
        <v>45</v>
      </c>
      <c r="M7" t="s">
        <v>45</v>
      </c>
    </row>
    <row r="8" spans="1:16">
      <c r="B8" t="s">
        <v>6</v>
      </c>
      <c r="G8" t="s">
        <v>39</v>
      </c>
      <c r="H8">
        <v>15000</v>
      </c>
      <c r="I8">
        <v>0</v>
      </c>
      <c r="J8">
        <f t="shared" ref="J8:J15" si="1">H8+I8</f>
        <v>15000</v>
      </c>
    </row>
    <row r="9" spans="1:16">
      <c r="B9" t="s">
        <v>7</v>
      </c>
      <c r="F9" t="s">
        <v>0</v>
      </c>
      <c r="G9" t="s">
        <v>17</v>
      </c>
      <c r="I9">
        <v>0</v>
      </c>
      <c r="J9">
        <f t="shared" si="1"/>
        <v>0</v>
      </c>
      <c r="K9" t="s">
        <v>45</v>
      </c>
    </row>
    <row r="10" spans="1:16">
      <c r="B10" t="s">
        <v>8</v>
      </c>
      <c r="G10" t="s">
        <v>18</v>
      </c>
      <c r="I10">
        <v>0</v>
      </c>
      <c r="J10">
        <f t="shared" si="1"/>
        <v>0</v>
      </c>
      <c r="K10" t="s">
        <v>45</v>
      </c>
    </row>
    <row r="11" spans="1:16">
      <c r="B11" t="s">
        <v>12</v>
      </c>
      <c r="G11" t="s">
        <v>19</v>
      </c>
      <c r="I11">
        <v>0</v>
      </c>
      <c r="J11">
        <f t="shared" si="1"/>
        <v>0</v>
      </c>
      <c r="K11" t="s">
        <v>45</v>
      </c>
    </row>
    <row r="12" spans="1:16">
      <c r="B12" t="s">
        <v>11</v>
      </c>
      <c r="G12" t="s">
        <v>20</v>
      </c>
      <c r="I12">
        <v>0</v>
      </c>
      <c r="J12">
        <f t="shared" si="1"/>
        <v>0</v>
      </c>
      <c r="K12" t="s">
        <v>45</v>
      </c>
      <c r="P12">
        <f>6714*14</f>
        <v>93996</v>
      </c>
    </row>
    <row r="13" spans="1:16">
      <c r="B13" t="s">
        <v>9</v>
      </c>
      <c r="G13" t="s">
        <v>27</v>
      </c>
      <c r="I13">
        <v>0</v>
      </c>
      <c r="J13">
        <f t="shared" si="1"/>
        <v>0</v>
      </c>
      <c r="K13" t="s">
        <v>45</v>
      </c>
      <c r="P13">
        <v>25000</v>
      </c>
    </row>
    <row r="14" spans="1:16">
      <c r="B14" t="s">
        <v>10</v>
      </c>
      <c r="G14" t="s">
        <v>21</v>
      </c>
      <c r="I14">
        <v>0</v>
      </c>
      <c r="J14">
        <f t="shared" si="1"/>
        <v>0</v>
      </c>
      <c r="K14" t="s">
        <v>45</v>
      </c>
    </row>
    <row r="15" spans="1:16">
      <c r="G15" t="s">
        <v>49</v>
      </c>
      <c r="I15">
        <v>0</v>
      </c>
      <c r="J15">
        <f t="shared" si="1"/>
        <v>0</v>
      </c>
      <c r="K15" t="s">
        <v>45</v>
      </c>
    </row>
    <row r="16" spans="1:16">
      <c r="F16" t="s">
        <v>1</v>
      </c>
      <c r="G16" t="s">
        <v>22</v>
      </c>
      <c r="H16">
        <f>H41</f>
        <v>4000</v>
      </c>
      <c r="I16">
        <f>I41</f>
        <v>857</v>
      </c>
      <c r="J16">
        <f t="shared" si="0"/>
        <v>4857</v>
      </c>
      <c r="K16" t="s">
        <v>45</v>
      </c>
      <c r="M16" t="s">
        <v>45</v>
      </c>
    </row>
    <row r="17" spans="2:17">
      <c r="G17" t="s">
        <v>23</v>
      </c>
      <c r="H17">
        <f>H41</f>
        <v>4000</v>
      </c>
      <c r="I17">
        <f>I41</f>
        <v>857</v>
      </c>
      <c r="J17">
        <f t="shared" si="0"/>
        <v>4857</v>
      </c>
      <c r="K17" t="s">
        <v>45</v>
      </c>
      <c r="M17" t="s">
        <v>45</v>
      </c>
    </row>
    <row r="18" spans="2:17">
      <c r="B18">
        <v>10000</v>
      </c>
      <c r="G18" t="s">
        <v>24</v>
      </c>
      <c r="H18">
        <f>H41</f>
        <v>4000</v>
      </c>
      <c r="I18">
        <f>I41</f>
        <v>857</v>
      </c>
      <c r="J18">
        <f t="shared" si="0"/>
        <v>4857</v>
      </c>
      <c r="K18" t="s">
        <v>45</v>
      </c>
      <c r="M18" t="s">
        <v>45</v>
      </c>
    </row>
    <row r="19" spans="2:17">
      <c r="B19">
        <f>5000*11</f>
        <v>55000</v>
      </c>
      <c r="G19" t="s">
        <v>25</v>
      </c>
      <c r="H19">
        <f>H41</f>
        <v>4000</v>
      </c>
      <c r="I19">
        <f>I41</f>
        <v>857</v>
      </c>
      <c r="J19">
        <f t="shared" si="0"/>
        <v>4857</v>
      </c>
      <c r="K19" t="s">
        <v>45</v>
      </c>
      <c r="M19" t="s">
        <v>45</v>
      </c>
    </row>
    <row r="20" spans="2:17">
      <c r="B20">
        <v>10000</v>
      </c>
      <c r="G20" t="s">
        <v>26</v>
      </c>
      <c r="H20">
        <f>H41</f>
        <v>4000</v>
      </c>
      <c r="I20">
        <f>I41</f>
        <v>857</v>
      </c>
      <c r="J20">
        <f t="shared" si="0"/>
        <v>4857</v>
      </c>
      <c r="K20" t="s">
        <v>45</v>
      </c>
      <c r="M20" t="s">
        <v>45</v>
      </c>
    </row>
    <row r="21" spans="2:17">
      <c r="B21">
        <v>15000</v>
      </c>
      <c r="G21" t="s">
        <v>28</v>
      </c>
      <c r="H21">
        <f>H41</f>
        <v>4000</v>
      </c>
      <c r="I21">
        <f>I41</f>
        <v>857</v>
      </c>
      <c r="J21">
        <f t="shared" si="0"/>
        <v>4857</v>
      </c>
      <c r="K21" t="s">
        <v>45</v>
      </c>
      <c r="M21" t="s">
        <v>45</v>
      </c>
    </row>
    <row r="22" spans="2:17">
      <c r="B22">
        <v>50000</v>
      </c>
      <c r="G22" t="s">
        <v>7</v>
      </c>
      <c r="H22">
        <v>0</v>
      </c>
      <c r="J22">
        <f t="shared" si="0"/>
        <v>0</v>
      </c>
    </row>
    <row r="23" spans="2:17">
      <c r="B23">
        <f>SUM(B18:B22)</f>
        <v>140000</v>
      </c>
      <c r="F23" t="s">
        <v>3</v>
      </c>
      <c r="G23" t="s">
        <v>29</v>
      </c>
      <c r="H23">
        <f>H41</f>
        <v>4000</v>
      </c>
      <c r="I23">
        <f>I41</f>
        <v>857</v>
      </c>
      <c r="J23">
        <f t="shared" si="0"/>
        <v>4857</v>
      </c>
      <c r="K23" t="s">
        <v>45</v>
      </c>
      <c r="M23" t="s">
        <v>45</v>
      </c>
    </row>
    <row r="24" spans="2:17">
      <c r="G24" t="s">
        <v>30</v>
      </c>
      <c r="H24">
        <f>H41</f>
        <v>4000</v>
      </c>
      <c r="I24">
        <f>I41</f>
        <v>857</v>
      </c>
      <c r="J24">
        <f t="shared" si="0"/>
        <v>4857</v>
      </c>
      <c r="K24" t="s">
        <v>45</v>
      </c>
      <c r="M24" t="s">
        <v>45</v>
      </c>
    </row>
    <row r="25" spans="2:17">
      <c r="G25" t="s">
        <v>31</v>
      </c>
      <c r="H25">
        <f>H41</f>
        <v>4000</v>
      </c>
      <c r="I25">
        <f>I41</f>
        <v>857</v>
      </c>
      <c r="J25">
        <f t="shared" si="0"/>
        <v>4857</v>
      </c>
      <c r="K25" t="s">
        <v>45</v>
      </c>
      <c r="M25" t="s">
        <v>45</v>
      </c>
    </row>
    <row r="26" spans="2:17">
      <c r="G26" t="s">
        <v>32</v>
      </c>
      <c r="H26">
        <f>H41</f>
        <v>4000</v>
      </c>
      <c r="I26">
        <f>I41</f>
        <v>857</v>
      </c>
      <c r="J26">
        <f t="shared" si="0"/>
        <v>4857</v>
      </c>
      <c r="K26" t="s">
        <v>45</v>
      </c>
      <c r="M26" t="s">
        <v>45</v>
      </c>
    </row>
    <row r="27" spans="2:17">
      <c r="G27" t="s">
        <v>33</v>
      </c>
      <c r="H27">
        <f>H41</f>
        <v>4000</v>
      </c>
      <c r="I27">
        <f>I41</f>
        <v>857</v>
      </c>
      <c r="J27">
        <f t="shared" si="0"/>
        <v>4857</v>
      </c>
      <c r="K27" t="s">
        <v>45</v>
      </c>
      <c r="M27" t="s">
        <v>45</v>
      </c>
    </row>
    <row r="28" spans="2:17">
      <c r="F28" t="s">
        <v>4</v>
      </c>
      <c r="G28" t="s">
        <v>34</v>
      </c>
      <c r="H28">
        <v>0</v>
      </c>
      <c r="I28">
        <v>0</v>
      </c>
      <c r="J28">
        <f t="shared" si="0"/>
        <v>0</v>
      </c>
      <c r="K28" t="s">
        <v>45</v>
      </c>
    </row>
    <row r="29" spans="2:17">
      <c r="G29" t="s">
        <v>35</v>
      </c>
      <c r="H29">
        <v>0</v>
      </c>
      <c r="I29">
        <v>0</v>
      </c>
      <c r="J29">
        <f t="shared" si="0"/>
        <v>0</v>
      </c>
      <c r="K29" t="s">
        <v>45</v>
      </c>
    </row>
    <row r="30" spans="2:17">
      <c r="G30" t="s">
        <v>36</v>
      </c>
      <c r="H30">
        <v>0</v>
      </c>
      <c r="I30">
        <v>0</v>
      </c>
      <c r="J30">
        <f t="shared" si="0"/>
        <v>0</v>
      </c>
      <c r="K30" t="s">
        <v>45</v>
      </c>
    </row>
    <row r="31" spans="2:17">
      <c r="G31" t="s">
        <v>37</v>
      </c>
      <c r="H31">
        <v>0</v>
      </c>
      <c r="I31">
        <v>0</v>
      </c>
      <c r="J31">
        <f t="shared" si="0"/>
        <v>0</v>
      </c>
      <c r="K31" t="s">
        <v>45</v>
      </c>
    </row>
    <row r="32" spans="2:17">
      <c r="G32" t="s">
        <v>38</v>
      </c>
      <c r="H32">
        <v>0</v>
      </c>
      <c r="I32">
        <v>0</v>
      </c>
      <c r="J32">
        <f t="shared" si="0"/>
        <v>0</v>
      </c>
      <c r="K32" t="s">
        <v>45</v>
      </c>
      <c r="O32" t="s">
        <v>47</v>
      </c>
      <c r="P32" t="s">
        <v>43</v>
      </c>
      <c r="Q32" t="s">
        <v>44</v>
      </c>
    </row>
    <row r="33" spans="2:17">
      <c r="F33" t="s">
        <v>41</v>
      </c>
      <c r="G33" t="s">
        <v>45</v>
      </c>
      <c r="H33">
        <v>0</v>
      </c>
      <c r="I33">
        <v>0</v>
      </c>
      <c r="J33">
        <f t="shared" si="0"/>
        <v>0</v>
      </c>
      <c r="O33" t="s">
        <v>42</v>
      </c>
      <c r="P33">
        <v>7</v>
      </c>
      <c r="Q33">
        <f>SUM(I:I)</f>
        <v>24880</v>
      </c>
    </row>
    <row r="34" spans="2:17">
      <c r="G34" t="s">
        <v>45</v>
      </c>
      <c r="H34">
        <v>0</v>
      </c>
      <c r="I34">
        <v>0</v>
      </c>
      <c r="J34">
        <f t="shared" si="0"/>
        <v>0</v>
      </c>
    </row>
    <row r="35" spans="2:17">
      <c r="G35" t="s">
        <v>45</v>
      </c>
      <c r="H35">
        <v>0</v>
      </c>
      <c r="I35">
        <v>0</v>
      </c>
      <c r="J35">
        <f t="shared" si="0"/>
        <v>0</v>
      </c>
      <c r="Q35" t="s">
        <v>50</v>
      </c>
    </row>
    <row r="36" spans="2:17">
      <c r="G36" t="s">
        <v>45</v>
      </c>
      <c r="H36">
        <v>0</v>
      </c>
      <c r="I36">
        <v>0</v>
      </c>
      <c r="J36">
        <f t="shared" si="0"/>
        <v>0</v>
      </c>
      <c r="Q36">
        <f>INT(Q33/P33)</f>
        <v>3554</v>
      </c>
    </row>
    <row r="37" spans="2:17">
      <c r="F37" t="s">
        <v>51</v>
      </c>
      <c r="H37">
        <v>10000</v>
      </c>
      <c r="J37">
        <f t="shared" si="0"/>
        <v>10000</v>
      </c>
      <c r="O37" t="s">
        <v>48</v>
      </c>
      <c r="P37" t="s">
        <v>43</v>
      </c>
    </row>
    <row r="38" spans="2:17">
      <c r="O38" t="s">
        <v>42</v>
      </c>
      <c r="P38">
        <f>COUNTA(K4:K100)</f>
        <v>27</v>
      </c>
      <c r="Q38">
        <f>SUM(H:H)</f>
        <v>196000</v>
      </c>
    </row>
    <row r="39" spans="2:17">
      <c r="B39" t="s">
        <v>45</v>
      </c>
      <c r="C39">
        <v>15000</v>
      </c>
      <c r="G39" t="s">
        <v>42</v>
      </c>
      <c r="H39">
        <f>SUM(H4:H38)</f>
        <v>96000</v>
      </c>
      <c r="I39">
        <f t="shared" ref="I39" si="2">SUM(I4:I38)</f>
        <v>11998</v>
      </c>
      <c r="J39">
        <f>SUM(J4:J38)</f>
        <v>107998</v>
      </c>
    </row>
    <row r="40" spans="2:17">
      <c r="B40" t="s">
        <v>45</v>
      </c>
      <c r="C40">
        <v>15000</v>
      </c>
      <c r="H40" t="s">
        <v>52</v>
      </c>
      <c r="Q40" t="s">
        <v>46</v>
      </c>
    </row>
    <row r="41" spans="2:17">
      <c r="H41">
        <v>4000</v>
      </c>
      <c r="I41">
        <f>INT((J41 - H39)/P53)</f>
        <v>857</v>
      </c>
      <c r="J41">
        <f>H41*I43</f>
        <v>108000</v>
      </c>
      <c r="Q41">
        <f>INT(Q38/P38)</f>
        <v>7259</v>
      </c>
    </row>
    <row r="43" spans="2:17">
      <c r="I43">
        <f>COUNTA(K4:K100)</f>
        <v>27</v>
      </c>
      <c r="O43" t="s">
        <v>52</v>
      </c>
      <c r="P43" t="s">
        <v>55</v>
      </c>
      <c r="Q43" t="s">
        <v>60</v>
      </c>
    </row>
    <row r="44" spans="2:17">
      <c r="P44">
        <f>COUNTA(K1:K106)</f>
        <v>27</v>
      </c>
      <c r="Q44">
        <v>5000</v>
      </c>
    </row>
    <row r="45" spans="2:17">
      <c r="Q45" t="s">
        <v>53</v>
      </c>
    </row>
    <row r="46" spans="2:17">
      <c r="Q46">
        <f>Q44*P44</f>
        <v>135000</v>
      </c>
    </row>
    <row r="47" spans="2:17">
      <c r="P47" t="s">
        <v>5</v>
      </c>
      <c r="Q47">
        <v>10000</v>
      </c>
    </row>
    <row r="48" spans="2:17">
      <c r="P48" t="s">
        <v>39</v>
      </c>
      <c r="Q48">
        <v>20000</v>
      </c>
    </row>
    <row r="49" spans="15:17">
      <c r="P49" t="s">
        <v>56</v>
      </c>
      <c r="Q49">
        <v>1000</v>
      </c>
    </row>
    <row r="50" spans="15:17">
      <c r="P50" t="s">
        <v>51</v>
      </c>
      <c r="Q50">
        <v>10000</v>
      </c>
    </row>
    <row r="51" spans="15:17">
      <c r="P51" t="s">
        <v>59</v>
      </c>
      <c r="Q51">
        <v>0</v>
      </c>
    </row>
    <row r="52" spans="15:17">
      <c r="P52" t="s">
        <v>57</v>
      </c>
      <c r="Q52">
        <f>Q46-(Q47+Q48+Q49+Q50+Q51)</f>
        <v>94000</v>
      </c>
    </row>
    <row r="53" spans="15:17">
      <c r="O53" t="s">
        <v>54</v>
      </c>
      <c r="P53">
        <f>COUNTA(M4:M100)</f>
        <v>14</v>
      </c>
    </row>
    <row r="55" spans="15:17">
      <c r="P55" t="s">
        <v>58</v>
      </c>
      <c r="Q55">
        <f>INT(Q52/P53)</f>
        <v>6714</v>
      </c>
    </row>
  </sheetData>
  <autoFilter ref="K1:K43" xr:uid="{3F440320-F94E-8744-B0BA-201041D9FCC9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貞廣篤良</dc:creator>
  <cp:lastModifiedBy>篤良 貞廣</cp:lastModifiedBy>
  <dcterms:created xsi:type="dcterms:W3CDTF">2024-02-01T09:59:14Z</dcterms:created>
  <dcterms:modified xsi:type="dcterms:W3CDTF">2024-02-26T09:55:56Z</dcterms:modified>
</cp:coreProperties>
</file>